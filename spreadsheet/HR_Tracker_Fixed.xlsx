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13_ncr:1_{7815A8F8-7817-4A11-BF97-8A132A78B088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Dept_1" sheetId="1" r:id="rId1"/>
    <sheet name="Dept_2" sheetId="2" r:id="rId2"/>
    <sheet name="Dept_3" sheetId="3" r:id="rId3"/>
    <sheet name="Settings" sheetId="4" r:id="rId4"/>
    <sheet name="DashBo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5" l="1"/>
  <c r="B25" i="5"/>
  <c r="B24" i="5"/>
  <c r="B23" i="5"/>
  <c r="B22" i="5"/>
  <c r="C18" i="5"/>
  <c r="C17" i="5"/>
  <c r="C16" i="5"/>
  <c r="B18" i="5"/>
  <c r="B17" i="5"/>
  <c r="B16" i="5"/>
  <c r="A14" i="5"/>
  <c r="A10" i="5"/>
  <c r="A6" i="5"/>
  <c r="F10" i="3"/>
  <c r="E10" i="3"/>
  <c r="F10" i="2"/>
  <c r="E10" i="2"/>
  <c r="F10" i="1"/>
  <c r="E10" i="1"/>
</calcChain>
</file>

<file path=xl/sharedStrings.xml><?xml version="1.0" encoding="utf-8"?>
<sst xmlns="http://schemas.openxmlformats.org/spreadsheetml/2006/main" count="127" uniqueCount="73">
  <si>
    <t>🏢  Dept 1 — Leave &amp; Attendance Tracker</t>
  </si>
  <si>
    <t>Employee Name</t>
  </si>
  <si>
    <t>Employee ID</t>
  </si>
  <si>
    <t>Leave Start Date</t>
  </si>
  <si>
    <t>Leave End Date</t>
  </si>
  <si>
    <t>Leave Type</t>
  </si>
  <si>
    <t>Duration (Days)</t>
  </si>
  <si>
    <t>Status</t>
  </si>
  <si>
    <t>Alice Johnson</t>
  </si>
  <si>
    <t>D1-001</t>
  </si>
  <si>
    <t>Annual Leave</t>
  </si>
  <si>
    <t>Approved</t>
  </si>
  <si>
    <t>Bob Smith</t>
  </si>
  <si>
    <t>D1-002</t>
  </si>
  <si>
    <t>Sick Leave</t>
  </si>
  <si>
    <t>Carol White</t>
  </si>
  <si>
    <t>D1-003</t>
  </si>
  <si>
    <t>Pending</t>
  </si>
  <si>
    <t>David Brown</t>
  </si>
  <si>
    <t>D1-004</t>
  </si>
  <si>
    <t>Emergency Leave</t>
  </si>
  <si>
    <t>Eva Green</t>
  </si>
  <si>
    <t>D1-005</t>
  </si>
  <si>
    <t>Frank Lee</t>
  </si>
  <si>
    <t>D1-006</t>
  </si>
  <si>
    <t>Maternity / Paternity Leave</t>
  </si>
  <si>
    <t>TOTALS</t>
  </si>
  <si>
    <t>🏢  Dept 2 — Leave &amp; Attendance Tracker</t>
  </si>
  <si>
    <t>Grace Hall</t>
  </si>
  <si>
    <t>D2-001</t>
  </si>
  <si>
    <t>Henry King</t>
  </si>
  <si>
    <t>D2-002</t>
  </si>
  <si>
    <t>Isla Moore</t>
  </si>
  <si>
    <t>D2-003</t>
  </si>
  <si>
    <t>Unpaid Leave</t>
  </si>
  <si>
    <t>Rejected</t>
  </si>
  <si>
    <t>James Clark</t>
  </si>
  <si>
    <t>D2-004</t>
  </si>
  <si>
    <t>Karen Scott</t>
  </si>
  <si>
    <t>D2-005</t>
  </si>
  <si>
    <t>Liam Adams</t>
  </si>
  <si>
    <t>D2-006</t>
  </si>
  <si>
    <t>🏢  Dept 3 — Leave &amp; Attendance Tracker</t>
  </si>
  <si>
    <t>Mia Turner</t>
  </si>
  <si>
    <t>D3-001</t>
  </si>
  <si>
    <t>Noah Harris</t>
  </si>
  <si>
    <t>D3-002</t>
  </si>
  <si>
    <t>Olivia Lewis</t>
  </si>
  <si>
    <t>D3-003</t>
  </si>
  <si>
    <t>Paul Walker</t>
  </si>
  <si>
    <t>D3-004</t>
  </si>
  <si>
    <t>Quinn Young</t>
  </si>
  <si>
    <t>D3-005</t>
  </si>
  <si>
    <t>Rachel Allen</t>
  </si>
  <si>
    <t>D3-006</t>
  </si>
  <si>
    <t>⚙️  Configuration Settings</t>
  </si>
  <si>
    <t>Recipient Email Address</t>
  </si>
  <si>
    <t>wareedkhan2025@gmail.com</t>
  </si>
  <si>
    <t>Email Subject Line</t>
  </si>
  <si>
    <t>Weekly HR Leave Report</t>
  </si>
  <si>
    <t>Leave Allowance by Department</t>
  </si>
  <si>
    <t>Department</t>
  </si>
  <si>
    <t>Annual Leave Allowance (Days)</t>
  </si>
  <si>
    <t>Dept_1</t>
  </si>
  <si>
    <t>Dept_2</t>
  </si>
  <si>
    <t>Dept_3</t>
  </si>
  <si>
    <t>📊 HR Leave &amp; Attendance Dashboard</t>
  </si>
  <si>
    <t>📅 Total Leave Days Taken</t>
  </si>
  <si>
    <t>🕐 Pending Approvals</t>
  </si>
  <si>
    <t>👤 Employees On Leave Today</t>
  </si>
  <si>
    <t>Approved Days</t>
  </si>
  <si>
    <t>Allowance (Days)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</si>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</sst>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E293B"/>
      <name val="Arial"/>
      <charset val="1"/>
    </font>
    <font>
      <b/>
      <sz val="10"/>
      <color rgb="FF065F46"/>
      <name val="Arial"/>
      <charset val="1"/>
    </font>
    <font>
      <b/>
      <sz val="10"/>
      <color rgb="FF92400E"/>
      <name val="Arial"/>
      <charset val="1"/>
    </font>
    <font>
      <sz val="9"/>
      <color rgb="FFFFFFFF"/>
      <name val="Arial"/>
      <charset val="1"/>
    </font>
    <font>
      <b/>
      <sz val="10"/>
      <color rgb="FF991B1B"/>
      <name val="Arial"/>
      <charset val="1"/>
    </font>
    <font>
      <sz val="14"/>
      <color theme="0"/>
      <name val="Calibri"/>
      <family val="2"/>
      <charset val="1"/>
    </font>
    <font>
      <b/>
      <sz val="11"/>
      <color theme="0"/>
      <name val="Calibri"/>
      <family val="2"/>
      <charset val="1"/>
    </font>
    <font>
      <u/>
      <sz val="11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sz val="10"/>
      <color rgb="FF1E293B"/>
      <name val="Arial"/>
      <family val="2"/>
      <charset val="1"/>
    </font>
    <font>
      <b/>
      <sz val="10"/>
      <color rgb="FF1E293B"/>
      <name val="Arial"/>
      <family val="2"/>
      <charset val="1"/>
    </font>
    <font>
      <b/>
      <sz val="14"/>
      <color theme="0"/>
      <name val="Calibri"/>
      <family val="2"/>
      <charset val="1"/>
    </font>
    <font>
      <b/>
      <sz val="20"/>
      <color theme="0"/>
      <name val="Calibri"/>
      <family val="2"/>
      <charset val="1"/>
    </font>
    <font>
      <b/>
      <sz val="20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b/>
      <sz val="18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A2744"/>
        <bgColor rgb="FF1E293B"/>
      </patternFill>
    </fill>
    <fill>
      <patternFill patternType="solid">
        <fgColor rgb="FF2563EB"/>
        <bgColor rgb="FF3B82F6"/>
      </patternFill>
    </fill>
    <fill>
      <patternFill patternType="solid">
        <fgColor rgb="FFFFFFFF"/>
        <bgColor rgb="FFF3F6FC"/>
      </patternFill>
    </fill>
    <fill>
      <patternFill patternType="solid">
        <fgColor rgb="FFD1FAE5"/>
        <bgColor rgb="FFDBEAFE"/>
      </patternFill>
    </fill>
    <fill>
      <patternFill patternType="solid">
        <fgColor rgb="FFF3F6FC"/>
        <bgColor rgb="FFFFFFFF"/>
      </patternFill>
    </fill>
    <fill>
      <patternFill patternType="solid">
        <fgColor rgb="FFFEF3C7"/>
        <bgColor rgb="FFFEE2E2"/>
      </patternFill>
    </fill>
    <fill>
      <patternFill patternType="solid">
        <fgColor rgb="FF0D9488"/>
        <bgColor rgb="FF339966"/>
      </patternFill>
    </fill>
    <fill>
      <patternFill patternType="solid">
        <fgColor rgb="FFFEE2E2"/>
        <bgColor rgb="FFFEF3C7"/>
      </patternFill>
    </fill>
    <fill>
      <patternFill patternType="solid">
        <fgColor rgb="FF7C3AED"/>
        <bgColor rgb="FF993366"/>
      </patternFill>
    </fill>
    <fill>
      <patternFill patternType="solid">
        <fgColor theme="1"/>
        <bgColor rgb="FF003300"/>
      </patternFill>
    </fill>
    <fill>
      <patternFill patternType="solid">
        <fgColor rgb="FFDBEAFE"/>
        <bgColor rgb="FFD1FAE5"/>
      </patternFill>
    </fill>
    <fill>
      <patternFill patternType="solid">
        <fgColor theme="1" tint="0.3498947111423078"/>
        <bgColor rgb="FF808080"/>
      </patternFill>
    </fill>
    <fill>
      <patternFill patternType="solid">
        <fgColor rgb="FF002060"/>
        <bgColor rgb="FF1A2744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8" fillId="14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14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1" fontId="3" fillId="6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9" fillId="3" borderId="0" xfId="0" applyFont="1" applyFill="1"/>
    <xf numFmtId="0" fontId="10" fillId="12" borderId="0" xfId="0" applyFont="1" applyFill="1"/>
    <xf numFmtId="0" fontId="0" fillId="12" borderId="0" xfId="0" applyFill="1"/>
    <xf numFmtId="0" fontId="12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/>
    <xf numFmtId="0" fontId="23" fillId="15" borderId="3" xfId="0" applyFont="1" applyFill="1" applyBorder="1" applyAlignment="1">
      <alignment vertical="center" wrapText="1"/>
    </xf>
    <xf numFmtId="0" fontId="23" fillId="15" borderId="4" xfId="0" applyFont="1" applyFill="1" applyBorder="1" applyAlignment="1">
      <alignment vertical="center" wrapText="1"/>
    </xf>
    <xf numFmtId="0" fontId="23" fillId="15" borderId="5" xfId="0" applyFont="1" applyFill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2" fillId="15" borderId="3" xfId="0" applyFont="1" applyFill="1" applyBorder="1" applyAlignment="1">
      <alignment vertical="center" wrapText="1"/>
    </xf>
    <xf numFmtId="0" fontId="22" fillId="1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7C3AED"/>
      <rgbColor rgb="FFFEF3C7"/>
      <rgbColor rgb="FFDBEAFE"/>
      <rgbColor rgb="FF660066"/>
      <rgbColor rgb="FFFF8080"/>
      <rgbColor rgb="FF3B82F6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3F6FC"/>
      <rgbColor rgb="FFD1FAE5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FFC000"/>
      <rgbColor rgb="FFFF9900"/>
      <rgbColor rgb="FFE46C0A"/>
      <rgbColor rgb="FF595959"/>
      <rgbColor rgb="FF969696"/>
      <rgbColor rgb="FF002060"/>
      <rgbColor rgb="FF339966"/>
      <rgbColor rgb="FF003300"/>
      <rgbColor rgb="FF1A2744"/>
      <rgbColor rgb="FF92400E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Approved Days vs Allowance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DashBord!$B$15</c:f>
              <c:strCache>
                <c:ptCount val="1"/>
                <c:pt idx="0">
                  <c:v>Approved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DashBord!$A$16:$A$18</c:f>
              <c:strCache>
                <c:ptCount val="3"/>
                <c:pt idx="0">
                  <c:v>Dept_1</c:v>
                </c:pt>
                <c:pt idx="1">
                  <c:v>Dept_2</c:v>
                </c:pt>
                <c:pt idx="2">
                  <c:v>Dept_3</c:v>
                </c:pt>
              </c:strCache>
            </c:strRef>
          </c:cat>
          <c:val>
            <c:numRef>
              <c:f>DashBord!$B$16:$B$18</c:f>
              <c:numCache>
                <c:formatCode>General</c:formatCode>
                <c:ptCount val="3"/>
                <c:pt idx="0">
                  <c:v>35</c:v>
                </c:pt>
                <c:pt idx="1">
                  <c:v>11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0-44AA-B7ED-7C67220FA1C2}"/>
            </c:ext>
          </c:extLst>
        </c:ser>
        <c:ser>
          <c:idx val="1"/>
          <c:order val="1"/>
          <c:tx>
            <c:strRef>
              <c:f>DashBord!$C$15</c:f>
              <c:strCache>
                <c:ptCount val="1"/>
                <c:pt idx="0">
                  <c:v>Allowance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DashBord!$A$16:$A$18</c:f>
              <c:strCache>
                <c:ptCount val="3"/>
                <c:pt idx="0">
                  <c:v>Dept_1</c:v>
                </c:pt>
                <c:pt idx="1">
                  <c:v>Dept_2</c:v>
                </c:pt>
                <c:pt idx="2">
                  <c:v>Dept_3</c:v>
                </c:pt>
              </c:strCache>
            </c:strRef>
          </c:cat>
          <c:val>
            <c:numRef>
              <c:f>DashBord!$C$16:$C$18</c:f>
              <c:numCache>
                <c:formatCode>General</c:formatCode>
                <c:ptCount val="3"/>
                <c:pt idx="0">
                  <c:v>20</c:v>
                </c:pt>
                <c:pt idx="1">
                  <c:v>18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0-44AA-B7ED-7C67220FA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139872"/>
        <c:axId val="1180138912"/>
      </c:barChart>
      <c:catAx>
        <c:axId val="11801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38912"/>
        <c:crosses val="autoZero"/>
        <c:auto val="1"/>
        <c:lblAlgn val="ctr"/>
        <c:lblOffset val="100"/>
        <c:noMultiLvlLbl val="0"/>
      </c:catAx>
      <c:valAx>
        <c:axId val="11801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Leave Distribution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DashBord!$B$21</c:f>
              <c:strCache>
                <c:ptCount val="1"/>
                <c:pt idx="0">
                  <c:v>Total Days</c:v>
                </c:pt>
              </c:strCache>
            </c:strRef>
          </c:tx>
          <c:dPt>
            <c:idx val="0"/>
            <c:bubble3D val="0"/>
            <c:explosion val="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89-40B6-BA5A-652EAAA736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789-40B6-BA5A-652EAAA736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1355222718684366"/>
                  <c:y val="-4.21692993897235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89-40B6-BA5A-652EAAA736A4}"/>
                </c:ext>
              </c:extLst>
            </c:dLbl>
            <c:dLbl>
              <c:idx val="3"/>
              <c:layout>
                <c:manualLayout>
                  <c:x val="0.10786160869953047"/>
                  <c:y val="6.052364620066663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89-40B6-BA5A-652EAAA736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DashBord!$A$22:$A$26</c:f>
              <c:strCache>
                <c:ptCount val="5"/>
                <c:pt idx="0">
                  <c:v>Annual Leave</c:v>
                </c:pt>
                <c:pt idx="1">
                  <c:v>Sick Leave</c:v>
                </c:pt>
                <c:pt idx="2">
                  <c:v>Unpaid Leave</c:v>
                </c:pt>
                <c:pt idx="3">
                  <c:v>Maternity / Paternity Leave</c:v>
                </c:pt>
                <c:pt idx="4">
                  <c:v>Emergency Leave</c:v>
                </c:pt>
              </c:strCache>
            </c:strRef>
          </c:cat>
          <c:val>
            <c:numRef>
              <c:f>DashBord!$B$22:$B$26</c:f>
              <c:numCache>
                <c:formatCode>General</c:formatCode>
                <c:ptCount val="5"/>
                <c:pt idx="0">
                  <c:v>46</c:v>
                </c:pt>
                <c:pt idx="1">
                  <c:v>8</c:v>
                </c:pt>
                <c:pt idx="2">
                  <c:v>6</c:v>
                </c:pt>
                <c:pt idx="3">
                  <c:v>32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9-40B6-BA5A-652EAAA73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3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415924</xdr:colOff>
      <xdr:row>3</xdr:row>
      <xdr:rowOff>69850</xdr:rowOff>
    </xdr:from>
    <xdr:to>
      <xdr:col>11</xdr:col>
      <xdr:colOff>25400</xdr:colOff>
      <xdr:row>15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602272-36AD-8674-6FE3-F3B2F3E52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16</xdr:row>
      <xdr:rowOff>133350</xdr:rowOff>
    </xdr:from>
    <xdr:to>
      <xdr:col>11</xdr:col>
      <xdr:colOff>82550</xdr:colOff>
      <xdr:row>32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BAD0A6-1B0C-3F29-14F5-7C72B9E0E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wareedkhan2025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63EB"/>
  </sheetPr>
  <dimension ref="A1:G10"/>
  <sheetViews>
    <sheetView showGridLines="0" zoomScaleNormal="100" workbookViewId="0">
      <pane ySplit="2" topLeftCell="A3" activePane="bottomLeft" state="frozen"/>
      <selection pane="bottomLeft" activeCell="E10" sqref="E10"/>
    </sheetView>
  </sheetViews>
  <sheetFormatPr defaultColWidth="8.6328125" defaultRowHeight="14.5" x14ac:dyDescent="0.35"/>
  <cols>
    <col min="1" max="1" width="22" customWidth="1"/>
    <col min="2" max="2" width="14" customWidth="1"/>
    <col min="3" max="3" width="18" style="8" customWidth="1"/>
    <col min="4" max="4" width="18" customWidth="1"/>
    <col min="5" max="5" width="28" customWidth="1"/>
    <col min="6" max="6" width="16" customWidth="1"/>
    <col min="7" max="7" width="14" customWidth="1"/>
  </cols>
  <sheetData>
    <row r="1" spans="1:7" ht="37.5" customHeight="1" x14ac:dyDescent="0.35">
      <c r="A1" s="7" t="s">
        <v>0</v>
      </c>
      <c r="B1" s="7"/>
      <c r="C1" s="7"/>
      <c r="D1" s="7"/>
      <c r="E1" s="7"/>
      <c r="F1" s="7"/>
      <c r="G1" s="7"/>
    </row>
    <row r="2" spans="1:7" ht="21.75" customHeight="1" x14ac:dyDescent="0.35">
      <c r="A2" s="9" t="s">
        <v>1</v>
      </c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pans="1:7" ht="19.5" customHeight="1" x14ac:dyDescent="0.35">
      <c r="A3" s="11" t="s">
        <v>8</v>
      </c>
      <c r="B3" s="12" t="s">
        <v>9</v>
      </c>
      <c r="C3" s="13">
        <v>46174</v>
      </c>
      <c r="D3" s="13">
        <v>46203</v>
      </c>
      <c r="E3" s="11" t="s">
        <v>10</v>
      </c>
      <c r="F3" s="14">
        <v>22</v>
      </c>
      <c r="G3" s="15" t="s">
        <v>11</v>
      </c>
    </row>
    <row r="4" spans="1:7" ht="19.5" customHeight="1" x14ac:dyDescent="0.35">
      <c r="A4" s="16" t="s">
        <v>12</v>
      </c>
      <c r="B4" s="17" t="s">
        <v>13</v>
      </c>
      <c r="C4" s="18">
        <v>46152</v>
      </c>
      <c r="D4" s="18">
        <v>46154</v>
      </c>
      <c r="E4" s="16" t="s">
        <v>14</v>
      </c>
      <c r="F4" s="19">
        <v>2</v>
      </c>
      <c r="G4" s="15" t="s">
        <v>11</v>
      </c>
    </row>
    <row r="5" spans="1:7" ht="19.5" customHeight="1" x14ac:dyDescent="0.35">
      <c r="A5" s="11" t="s">
        <v>15</v>
      </c>
      <c r="B5" s="12" t="s">
        <v>16</v>
      </c>
      <c r="C5" s="13">
        <v>46162</v>
      </c>
      <c r="D5" s="13">
        <v>46164</v>
      </c>
      <c r="E5" s="11" t="s">
        <v>10</v>
      </c>
      <c r="F5" s="14">
        <v>3</v>
      </c>
      <c r="G5" s="20" t="s">
        <v>17</v>
      </c>
    </row>
    <row r="6" spans="1:7" ht="19.5" customHeight="1" x14ac:dyDescent="0.35">
      <c r="A6" s="16" t="s">
        <v>18</v>
      </c>
      <c r="B6" s="17" t="s">
        <v>19</v>
      </c>
      <c r="C6" s="18">
        <v>46174</v>
      </c>
      <c r="D6" s="18">
        <v>46176</v>
      </c>
      <c r="E6" s="16" t="s">
        <v>20</v>
      </c>
      <c r="F6" s="19">
        <v>3</v>
      </c>
      <c r="G6" s="20" t="s">
        <v>17</v>
      </c>
    </row>
    <row r="7" spans="1:7" ht="19.5" customHeight="1" x14ac:dyDescent="0.35">
      <c r="A7" s="11" t="s">
        <v>21</v>
      </c>
      <c r="B7" s="12" t="s">
        <v>22</v>
      </c>
      <c r="C7" s="13">
        <v>46127</v>
      </c>
      <c r="D7" s="13">
        <v>46128</v>
      </c>
      <c r="E7" s="11" t="s">
        <v>14</v>
      </c>
      <c r="F7" s="14">
        <v>2</v>
      </c>
      <c r="G7" s="15" t="s">
        <v>11</v>
      </c>
    </row>
    <row r="8" spans="1:7" ht="19.5" customHeight="1" x14ac:dyDescent="0.35">
      <c r="A8" s="16" t="s">
        <v>23</v>
      </c>
      <c r="B8" s="17" t="s">
        <v>24</v>
      </c>
      <c r="C8" s="18">
        <v>46183</v>
      </c>
      <c r="D8" s="18">
        <v>46193</v>
      </c>
      <c r="E8" s="16" t="s">
        <v>25</v>
      </c>
      <c r="F8" s="19">
        <v>9</v>
      </c>
      <c r="G8" s="15" t="s">
        <v>11</v>
      </c>
    </row>
    <row r="10" spans="1:7" ht="21.75" customHeight="1" x14ac:dyDescent="0.35">
      <c r="A10" s="21" t="s">
        <v>26</v>
      </c>
      <c r="B10" s="22"/>
      <c r="C10" s="23"/>
      <c r="D10" s="22"/>
      <c r="E10" s="24" t="str">
        <f>COUNTA(A3:A8)&amp;" requests"</f>
        <v>6 requests</v>
      </c>
      <c r="F10" s="25">
        <f>SUM(F3:F9)</f>
        <v>41</v>
      </c>
      <c r="G10" s="22"/>
    </row>
  </sheetData>
  <mergeCells count="1">
    <mergeCell ref="A1:G1"/>
  </mergeCells>
  <dataValidations count="2">
    <dataValidation type="list" allowBlank="1" sqref="E3:E500" xr:uid="{00000000-0002-0000-0000-000000000000}">
      <formula1>"Annual Leave,Sick Leave,Unpaid Leave,Maternity / Paternity Leave,Emergency Leave"</formula1>
      <formula2>0</formula2>
    </dataValidation>
    <dataValidation type="list" allowBlank="1" sqref="G3:G500" xr:uid="{00000000-0002-0000-0000-000001000000}">
      <formula1>"Pending,Approved,Rejected"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9488"/>
  </sheetPr>
  <dimension ref="A1:G10"/>
  <sheetViews>
    <sheetView showGridLines="0" zoomScaleNormal="100" workbookViewId="0">
      <pane ySplit="2" topLeftCell="A3" activePane="bottomLeft" state="frozen"/>
      <selection pane="bottomLeft" activeCell="D14" sqref="D14"/>
    </sheetView>
  </sheetViews>
  <sheetFormatPr defaultColWidth="8.6328125" defaultRowHeight="14.5" x14ac:dyDescent="0.35"/>
  <cols>
    <col min="1" max="1" width="22" customWidth="1"/>
    <col min="2" max="2" width="14" customWidth="1"/>
    <col min="3" max="4" width="18" customWidth="1"/>
    <col min="5" max="5" width="28" customWidth="1"/>
    <col min="6" max="6" width="16" customWidth="1"/>
    <col min="7" max="7" width="14" customWidth="1"/>
  </cols>
  <sheetData>
    <row r="1" spans="1:7" ht="37.5" customHeight="1" x14ac:dyDescent="0.35">
      <c r="A1" s="7" t="s">
        <v>27</v>
      </c>
      <c r="B1" s="7"/>
      <c r="C1" s="7"/>
      <c r="D1" s="7"/>
      <c r="E1" s="7"/>
      <c r="F1" s="7"/>
      <c r="G1" s="7"/>
    </row>
    <row r="2" spans="1:7" ht="21.75" customHeight="1" x14ac:dyDescent="0.35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pans="1:7" ht="19.5" customHeight="1" x14ac:dyDescent="0.35">
      <c r="A3" s="11" t="s">
        <v>28</v>
      </c>
      <c r="B3" s="12" t="s">
        <v>29</v>
      </c>
      <c r="C3" s="13">
        <v>46145</v>
      </c>
      <c r="D3" s="13">
        <v>46149</v>
      </c>
      <c r="E3" s="11" t="s">
        <v>10</v>
      </c>
      <c r="F3" s="14">
        <v>4</v>
      </c>
      <c r="G3" s="15" t="s">
        <v>11</v>
      </c>
    </row>
    <row r="4" spans="1:7" ht="19.5" customHeight="1" x14ac:dyDescent="0.35">
      <c r="A4" s="16" t="s">
        <v>30</v>
      </c>
      <c r="B4" s="17" t="s">
        <v>31</v>
      </c>
      <c r="C4" s="18">
        <v>46150</v>
      </c>
      <c r="D4" s="18">
        <v>46150</v>
      </c>
      <c r="E4" s="16" t="s">
        <v>14</v>
      </c>
      <c r="F4" s="19">
        <v>1</v>
      </c>
      <c r="G4" s="15" t="s">
        <v>11</v>
      </c>
    </row>
    <row r="5" spans="1:7" ht="19.5" customHeight="1" x14ac:dyDescent="0.35">
      <c r="A5" s="11" t="s">
        <v>32</v>
      </c>
      <c r="B5" s="12" t="s">
        <v>33</v>
      </c>
      <c r="C5" s="13">
        <v>46157</v>
      </c>
      <c r="D5" s="13">
        <v>46161</v>
      </c>
      <c r="E5" s="11" t="s">
        <v>34</v>
      </c>
      <c r="F5" s="14">
        <v>3</v>
      </c>
      <c r="G5" s="27" t="s">
        <v>35</v>
      </c>
    </row>
    <row r="6" spans="1:7" ht="19.5" customHeight="1" x14ac:dyDescent="0.35">
      <c r="A6" s="16" t="s">
        <v>36</v>
      </c>
      <c r="B6" s="17" t="s">
        <v>37</v>
      </c>
      <c r="C6" s="18">
        <v>46167</v>
      </c>
      <c r="D6" s="18">
        <v>46169</v>
      </c>
      <c r="E6" s="16" t="s">
        <v>10</v>
      </c>
      <c r="F6" s="19">
        <v>3</v>
      </c>
      <c r="G6" s="20" t="s">
        <v>17</v>
      </c>
    </row>
    <row r="7" spans="1:7" ht="19.5" customHeight="1" x14ac:dyDescent="0.35">
      <c r="A7" s="11" t="s">
        <v>38</v>
      </c>
      <c r="B7" s="12" t="s">
        <v>39</v>
      </c>
      <c r="C7" s="13">
        <v>46178</v>
      </c>
      <c r="D7" s="13">
        <v>46179</v>
      </c>
      <c r="E7" s="11" t="s">
        <v>20</v>
      </c>
      <c r="F7" s="14">
        <v>2</v>
      </c>
      <c r="G7" s="20" t="s">
        <v>17</v>
      </c>
    </row>
    <row r="8" spans="1:7" ht="19.5" customHeight="1" x14ac:dyDescent="0.35">
      <c r="A8" s="16" t="s">
        <v>40</v>
      </c>
      <c r="B8" s="17" t="s">
        <v>41</v>
      </c>
      <c r="C8" s="18">
        <v>46132</v>
      </c>
      <c r="D8" s="18">
        <v>46137</v>
      </c>
      <c r="E8" s="16" t="s">
        <v>10</v>
      </c>
      <c r="F8" s="19">
        <v>6</v>
      </c>
      <c r="G8" s="15" t="s">
        <v>11</v>
      </c>
    </row>
    <row r="10" spans="1:7" ht="21.75" customHeight="1" x14ac:dyDescent="0.35">
      <c r="A10" s="21" t="s">
        <v>26</v>
      </c>
      <c r="B10" s="22"/>
      <c r="C10" s="22"/>
      <c r="D10" s="22"/>
      <c r="E10" s="24" t="str">
        <f>COUNTA(A3:A8)&amp;" requests"</f>
        <v>6 requests</v>
      </c>
      <c r="F10" s="25">
        <f>SUM(F3:F9)</f>
        <v>19</v>
      </c>
      <c r="G10" s="22"/>
    </row>
  </sheetData>
  <mergeCells count="1">
    <mergeCell ref="A1:G1"/>
  </mergeCells>
  <dataValidations count="2">
    <dataValidation type="list" allowBlank="1" sqref="E3:E500" xr:uid="{00000000-0002-0000-0100-000000000000}">
      <formula1>"Annual Leave,Sick Leave,Unpaid Leave,Maternity / Paternity Leave,Emergency Leave"</formula1>
      <formula2>0</formula2>
    </dataValidation>
    <dataValidation type="list" allowBlank="1" sqref="G3:G500" xr:uid="{00000000-0002-0000-0100-000001000000}">
      <formula1>"Pending,Approved,Rejected"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</sheetPr>
  <dimension ref="A1:G10"/>
  <sheetViews>
    <sheetView showGridLines="0" zoomScaleNormal="100" workbookViewId="0">
      <pane ySplit="2" topLeftCell="A3" activePane="bottomLeft" state="frozen"/>
      <selection pane="bottomLeft" activeCell="G4" sqref="G4"/>
    </sheetView>
  </sheetViews>
  <sheetFormatPr defaultColWidth="8.6328125" defaultRowHeight="14.5" x14ac:dyDescent="0.35"/>
  <cols>
    <col min="1" max="1" width="22" customWidth="1"/>
    <col min="2" max="2" width="14" customWidth="1"/>
    <col min="3" max="4" width="18" customWidth="1"/>
    <col min="5" max="5" width="28" customWidth="1"/>
    <col min="6" max="6" width="16" customWidth="1"/>
    <col min="7" max="7" width="14" customWidth="1"/>
  </cols>
  <sheetData>
    <row r="1" spans="1:7" ht="37.5" customHeight="1" x14ac:dyDescent="0.35">
      <c r="A1" s="7" t="s">
        <v>42</v>
      </c>
      <c r="B1" s="7"/>
      <c r="C1" s="7"/>
      <c r="D1" s="7"/>
      <c r="E1" s="7"/>
      <c r="F1" s="7"/>
      <c r="G1" s="7"/>
    </row>
    <row r="2" spans="1:7" ht="21.75" customHeight="1" x14ac:dyDescent="0.3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</row>
    <row r="3" spans="1:7" ht="19.5" customHeight="1" x14ac:dyDescent="0.35">
      <c r="A3" s="11" t="s">
        <v>43</v>
      </c>
      <c r="B3" s="12" t="s">
        <v>44</v>
      </c>
      <c r="C3" s="13">
        <v>46146</v>
      </c>
      <c r="D3" s="13">
        <v>46148</v>
      </c>
      <c r="E3" s="11" t="s">
        <v>10</v>
      </c>
      <c r="F3" s="14">
        <v>3</v>
      </c>
      <c r="G3" s="15" t="s">
        <v>11</v>
      </c>
    </row>
    <row r="4" spans="1:7" ht="19.5" customHeight="1" x14ac:dyDescent="0.35">
      <c r="A4" s="16" t="s">
        <v>45</v>
      </c>
      <c r="B4" s="17" t="s">
        <v>46</v>
      </c>
      <c r="C4" s="18">
        <v>46153</v>
      </c>
      <c r="D4" s="18">
        <v>46155</v>
      </c>
      <c r="E4" s="16" t="s">
        <v>14</v>
      </c>
      <c r="F4" s="19">
        <v>3</v>
      </c>
      <c r="G4" s="20" t="s">
        <v>17</v>
      </c>
    </row>
    <row r="5" spans="1:7" ht="19.5" customHeight="1" x14ac:dyDescent="0.35">
      <c r="A5" s="11" t="s">
        <v>47</v>
      </c>
      <c r="B5" s="12" t="s">
        <v>48</v>
      </c>
      <c r="C5" s="13">
        <v>46160</v>
      </c>
      <c r="D5" s="13">
        <v>46164</v>
      </c>
      <c r="E5" s="11" t="s">
        <v>10</v>
      </c>
      <c r="F5" s="14">
        <v>5</v>
      </c>
      <c r="G5" s="15" t="s">
        <v>11</v>
      </c>
    </row>
    <row r="6" spans="1:7" ht="19.5" customHeight="1" x14ac:dyDescent="0.35">
      <c r="A6" s="16" t="s">
        <v>49</v>
      </c>
      <c r="B6" s="17" t="s">
        <v>50</v>
      </c>
      <c r="C6" s="18">
        <v>46175</v>
      </c>
      <c r="D6" s="18">
        <v>46177</v>
      </c>
      <c r="E6" s="16" t="s">
        <v>34</v>
      </c>
      <c r="F6" s="19">
        <v>3</v>
      </c>
      <c r="G6" s="20" t="s">
        <v>17</v>
      </c>
    </row>
    <row r="7" spans="1:7" ht="19.5" customHeight="1" x14ac:dyDescent="0.35">
      <c r="A7" s="11" t="s">
        <v>51</v>
      </c>
      <c r="B7" s="12" t="s">
        <v>52</v>
      </c>
      <c r="C7" s="13">
        <v>46140</v>
      </c>
      <c r="D7" s="13">
        <v>46141</v>
      </c>
      <c r="E7" s="11" t="s">
        <v>20</v>
      </c>
      <c r="F7" s="14">
        <v>2</v>
      </c>
      <c r="G7" s="15" t="s">
        <v>11</v>
      </c>
    </row>
    <row r="8" spans="1:7" ht="19.5" customHeight="1" x14ac:dyDescent="0.35">
      <c r="A8" s="16" t="s">
        <v>53</v>
      </c>
      <c r="B8" s="17" t="s">
        <v>54</v>
      </c>
      <c r="C8" s="18">
        <v>46188</v>
      </c>
      <c r="D8" s="18">
        <v>46218</v>
      </c>
      <c r="E8" s="16" t="s">
        <v>25</v>
      </c>
      <c r="F8" s="19">
        <v>23</v>
      </c>
      <c r="G8" s="15" t="s">
        <v>11</v>
      </c>
    </row>
    <row r="10" spans="1:7" ht="21.75" customHeight="1" x14ac:dyDescent="0.35">
      <c r="A10" s="21" t="s">
        <v>26</v>
      </c>
      <c r="B10" s="22"/>
      <c r="C10" s="22"/>
      <c r="D10" s="22"/>
      <c r="E10" s="24" t="str">
        <f>COUNTA(A3:A8)&amp;" requests"</f>
        <v>6 requests</v>
      </c>
      <c r="F10" s="25">
        <f>SUM(F3:F9)</f>
        <v>39</v>
      </c>
      <c r="G10" s="22"/>
    </row>
  </sheetData>
  <mergeCells count="1">
    <mergeCell ref="A1:G1"/>
  </mergeCells>
  <dataValidations count="2">
    <dataValidation type="list" allowBlank="1" sqref="E3:E500" xr:uid="{00000000-0002-0000-0200-000000000000}">
      <formula1>"Annual Leave,Sick Leave,Unpaid Leave,Maternity / Paternity Leave,Emergency Leave"</formula1>
      <formula2>0</formula2>
    </dataValidation>
    <dataValidation type="list" allowBlank="1" sqref="G3:G500" xr:uid="{00000000-0002-0000-0200-000001000000}">
      <formula1>"Pending,Approved,Rejected"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B11"/>
  <sheetViews>
    <sheetView zoomScaleNormal="100" workbookViewId="0">
      <selection activeCell="D10" sqref="D10"/>
    </sheetView>
  </sheetViews>
  <sheetFormatPr defaultColWidth="8.6328125" defaultRowHeight="14.5" x14ac:dyDescent="0.35"/>
  <cols>
    <col min="1" max="1" width="25.6328125" customWidth="1"/>
    <col min="2" max="2" width="27" customWidth="1"/>
  </cols>
  <sheetData>
    <row r="1" spans="1:2" ht="14.25" customHeight="1" x14ac:dyDescent="0.35">
      <c r="A1" s="6" t="s">
        <v>55</v>
      </c>
      <c r="B1" s="6"/>
    </row>
    <row r="2" spans="1:2" ht="14.25" customHeight="1" x14ac:dyDescent="0.35">
      <c r="A2" s="6"/>
      <c r="B2" s="6"/>
    </row>
    <row r="4" spans="1:2" ht="14.25" customHeight="1" x14ac:dyDescent="0.35">
      <c r="A4" s="29" t="s">
        <v>56</v>
      </c>
      <c r="B4" s="30" t="s">
        <v>57</v>
      </c>
    </row>
    <row r="5" spans="1:2" ht="14.25" customHeight="1" x14ac:dyDescent="0.35">
      <c r="A5" s="29" t="s">
        <v>58</v>
      </c>
      <c r="B5" s="31" t="s">
        <v>59</v>
      </c>
    </row>
    <row r="6" spans="1:2" ht="14.25" customHeight="1" x14ac:dyDescent="0.35">
      <c r="A6" s="5" t="s">
        <v>60</v>
      </c>
      <c r="B6" s="5"/>
    </row>
    <row r="7" spans="1:2" ht="14.25" customHeight="1" x14ac:dyDescent="0.35">
      <c r="A7" s="5"/>
      <c r="B7" s="5"/>
    </row>
    <row r="8" spans="1:2" ht="14.25" customHeight="1" x14ac:dyDescent="0.35">
      <c r="A8" s="29" t="s">
        <v>61</v>
      </c>
      <c r="B8" s="29" t="s">
        <v>62</v>
      </c>
    </row>
    <row r="9" spans="1:2" ht="14.25" customHeight="1" x14ac:dyDescent="0.35">
      <c r="A9" s="32" t="s">
        <v>63</v>
      </c>
      <c r="B9" s="33">
        <v>20</v>
      </c>
    </row>
    <row r="10" spans="1:2" ht="14.25" customHeight="1" x14ac:dyDescent="0.35">
      <c r="A10" s="34" t="s">
        <v>64</v>
      </c>
      <c r="B10" s="35">
        <v>18</v>
      </c>
    </row>
    <row r="11" spans="1:2" ht="14.25" customHeight="1" x14ac:dyDescent="0.35">
      <c r="A11" s="32" t="s">
        <v>65</v>
      </c>
      <c r="B11" s="33">
        <v>15</v>
      </c>
    </row>
  </sheetData>
  <mergeCells count="2">
    <mergeCell ref="A1:B2"/>
    <mergeCell ref="A6:B7"/>
  </mergeCells>
  <hyperlinks>
    <hyperlink ref="B4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46C0A"/>
  </sheetPr>
  <dimension ref="A1:L26"/>
  <sheetViews>
    <sheetView showGridLines="0" tabSelected="1" topLeftCell="A9" zoomScale="76" zoomScaleNormal="76" workbookViewId="0">
      <selection activeCell="R17" sqref="R17"/>
    </sheetView>
  </sheetViews>
  <sheetFormatPr defaultColWidth="8.6328125" defaultRowHeight="14.5" x14ac:dyDescent="0.35"/>
  <cols>
    <col min="1" max="1" width="13.453125" customWidth="1"/>
    <col min="2" max="2" width="15.7265625" customWidth="1"/>
    <col min="3" max="3" width="17.453125" bestFit="1" customWidth="1"/>
    <col min="5" max="5" width="8.453125" customWidth="1"/>
    <col min="7" max="7" width="8.6328125" customWidth="1"/>
    <col min="9" max="9" width="20.08984375" customWidth="1"/>
    <col min="10" max="10" width="22" customWidth="1"/>
    <col min="11" max="11" width="25.81640625" customWidth="1"/>
  </cols>
  <sheetData>
    <row r="1" spans="1:12" ht="18" customHeight="1" x14ac:dyDescent="0.35">
      <c r="A1" s="4" t="s">
        <v>66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2" ht="18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4" spans="1:12" ht="14.25" customHeight="1" x14ac:dyDescent="0.35">
      <c r="A4" s="3" t="s">
        <v>67</v>
      </c>
      <c r="B4" s="3"/>
      <c r="C4" s="3"/>
      <c r="D4" s="3"/>
      <c r="E4" s="3"/>
    </row>
    <row r="5" spans="1:12" ht="18" customHeight="1" x14ac:dyDescent="0.35">
      <c r="A5" s="3"/>
      <c r="B5" s="3"/>
      <c r="C5" s="3"/>
      <c r="D5" s="3"/>
      <c r="E5" s="3"/>
      <c r="H5" s="39"/>
      <c r="L5" s="40"/>
    </row>
    <row r="6" spans="1:12" ht="25.5" customHeight="1" x14ac:dyDescent="0.6">
      <c r="A6" s="2">
        <f>SUMIF(Dept_1!G2:G500,"Approved",Dept_1!F2:F500)
+SUMIF(Dept_2!G2:G500,"Approved",Dept_2!F2:F500)
+SUMIF(Dept_3!G2:G500,"Approved",Dept_3!F2:F500)</f>
        <v>79</v>
      </c>
      <c r="B6" s="2"/>
      <c r="C6" s="2"/>
      <c r="D6" s="2"/>
      <c r="E6" s="36"/>
      <c r="F6" s="36"/>
      <c r="H6" s="38"/>
    </row>
    <row r="7" spans="1:12" ht="14.25" customHeight="1" x14ac:dyDescent="0.35">
      <c r="A7" s="3" t="s">
        <v>68</v>
      </c>
      <c r="B7" s="3"/>
      <c r="C7" s="3"/>
      <c r="D7" s="3"/>
      <c r="E7" s="3"/>
      <c r="H7" s="38"/>
    </row>
    <row r="8" spans="1:12" ht="14.25" customHeight="1" x14ac:dyDescent="0.35">
      <c r="A8" s="3"/>
      <c r="B8" s="3"/>
      <c r="C8" s="3"/>
      <c r="D8" s="3"/>
      <c r="E8" s="3"/>
      <c r="H8" s="38"/>
    </row>
    <row r="9" spans="1:12" ht="14.25" customHeight="1" x14ac:dyDescent="0.35">
      <c r="A9" s="3"/>
      <c r="B9" s="3"/>
      <c r="C9" s="3"/>
      <c r="D9" s="3"/>
      <c r="E9" s="3"/>
    </row>
    <row r="10" spans="1:12" ht="25.5" customHeight="1" x14ac:dyDescent="0.6">
      <c r="A10" s="2">
        <f>COUNTIF(Dept_1!G2:G500,"Pending")
+COUNTIF(Dept_2!G2:G500,"Pending")
+COUNTIF(Dept_3!G2:G500,"Pending")</f>
        <v>6</v>
      </c>
      <c r="B10" s="2"/>
      <c r="C10" s="2"/>
      <c r="D10" s="2"/>
    </row>
    <row r="11" spans="1:12" ht="14.25" customHeight="1" x14ac:dyDescent="0.35">
      <c r="A11" s="1" t="s">
        <v>69</v>
      </c>
      <c r="B11" s="1"/>
      <c r="C11" s="1"/>
      <c r="D11" s="1"/>
      <c r="E11" s="1"/>
    </row>
    <row r="12" spans="1:12" ht="14.25" customHeight="1" x14ac:dyDescent="0.35">
      <c r="A12" s="1"/>
      <c r="B12" s="1"/>
      <c r="C12" s="1"/>
      <c r="D12" s="1"/>
      <c r="E12" s="1"/>
    </row>
    <row r="13" spans="1:12" ht="14.25" customHeight="1" x14ac:dyDescent="0.35">
      <c r="A13" s="1"/>
      <c r="B13" s="1"/>
      <c r="C13" s="1"/>
      <c r="D13" s="1"/>
      <c r="E13" s="1"/>
    </row>
    <row r="14" spans="1:12" ht="25.5" customHeight="1" x14ac:dyDescent="0.6">
      <c r="A14" s="2">
        <f ca="1">COUNTIFS(Dept_1!C2:C500,"&lt;="&amp;TODAY(),Dept_1!D2:D500,"&gt;="&amp;TODAY(),Dept_1!G2:G500,"Approved")
+COUNTIFS(Dept_2!C2:C500,"&lt;="&amp;TODAY(),Dept_2!D2:D500,"&gt;="&amp;TODAY(),Dept_2!G2:G500,"Approved")
+COUNTIFS(Dept_3!C2:C500,"&lt;="&amp;TODAY(),Dept_3!D2:D500,"&gt;="&amp;TODAY(),Dept_3!G2:G500,"Approved")</f>
        <v>1</v>
      </c>
      <c r="B14" s="2"/>
      <c r="C14" s="2"/>
      <c r="D14" s="2"/>
    </row>
    <row r="15" spans="1:12" x14ac:dyDescent="0.35">
      <c r="A15" s="41" t="s">
        <v>61</v>
      </c>
      <c r="B15" s="42" t="s">
        <v>70</v>
      </c>
      <c r="C15" s="43" t="s">
        <v>71</v>
      </c>
    </row>
    <row r="16" spans="1:12" x14ac:dyDescent="0.35">
      <c r="A16" s="44" t="s">
        <v>63</v>
      </c>
      <c r="B16" s="45">
        <f>SUMIF(Dept_1!G2:G500,"Approved",Dept_1!F2:F500)</f>
        <v>35</v>
      </c>
      <c r="C16" s="46">
        <f>Settings!B9</f>
        <v>20</v>
      </c>
    </row>
    <row r="17" spans="1:3" x14ac:dyDescent="0.35">
      <c r="A17" s="44" t="s">
        <v>64</v>
      </c>
      <c r="B17" s="45">
        <f>SUMIF(Dept_2!G2:G500,"Approved",Dept_2!F2:F500)</f>
        <v>11</v>
      </c>
      <c r="C17" s="46">
        <f>Settings!B10</f>
        <v>18</v>
      </c>
    </row>
    <row r="18" spans="1:3" x14ac:dyDescent="0.35">
      <c r="A18" s="47" t="s">
        <v>65</v>
      </c>
      <c r="B18" s="48">
        <f>SUMIF(Dept_3!G2:G500,"Approved",Dept_3!F2:F500)</f>
        <v>33</v>
      </c>
      <c r="C18" s="49">
        <f>Settings!B11</f>
        <v>15</v>
      </c>
    </row>
    <row r="20" spans="1:3" x14ac:dyDescent="0.35">
      <c r="A20" s="37"/>
      <c r="B20" s="37"/>
      <c r="C20" s="37"/>
    </row>
    <row r="21" spans="1:3" ht="15.5" x14ac:dyDescent="0.35">
      <c r="A21" s="50" t="s">
        <v>5</v>
      </c>
      <c r="B21" s="51" t="s">
        <v>72</v>
      </c>
    </row>
    <row r="22" spans="1:3" x14ac:dyDescent="0.35">
      <c r="A22" s="44" t="s">
        <v>10</v>
      </c>
      <c r="B22" s="46">
        <f>SUMIF(Dept_1!E2:E500,"Annual Leave",Dept_1!F2:F500)+SUMIF(Dept_2!E2:E500,"Annual Leave",Dept_2!F2:F500)+SUMIF(Dept_3!E2:E500,"Annual Leave",Dept_3!F2:F500)</f>
        <v>46</v>
      </c>
    </row>
    <row r="23" spans="1:3" x14ac:dyDescent="0.35">
      <c r="A23" s="44" t="s">
        <v>14</v>
      </c>
      <c r="B23" s="46">
        <f>SUMIF(Dept_1!E2:E500,"Sick Leave",Dept_1!F2:F500)+SUMIF(Dept_2!E2:E500,"Sick Leave",Dept_2!F2:F500)+SUMIF(Dept_3!E2:E500,"Sick Leave",Dept_3!F2:F500)</f>
        <v>8</v>
      </c>
    </row>
    <row r="24" spans="1:3" x14ac:dyDescent="0.35">
      <c r="A24" s="44" t="s">
        <v>34</v>
      </c>
      <c r="B24" s="46">
        <f>SUMIF(Dept_1!E2:E500,"Unpaid Leave",Dept_1!F2:F500)+SUMIF(Dept_2!E2:E500,"Unpaid Leave",Dept_2!F2:F500)+SUMIF(Dept_3!E2:E500,"Unpaid Leave",Dept_3!F2:F500)</f>
        <v>6</v>
      </c>
    </row>
    <row r="25" spans="1:3" ht="43.5" x14ac:dyDescent="0.35">
      <c r="A25" s="44" t="s">
        <v>25</v>
      </c>
      <c r="B25" s="46">
        <f>SUMIF(Dept_1!E2:E500,"Maternity / Paternity Leave",Dept_1!F2:F500)+SUMIF(Dept_2!E2:E500,"Maternity / Paternity Leave",Dept_2!F2:F500)+SUMIF(Dept_3!E2:E500,"Maternity / Paternity Leave",Dept_3!F2:F500)</f>
        <v>32</v>
      </c>
    </row>
    <row r="26" spans="1:3" ht="29" x14ac:dyDescent="0.35">
      <c r="A26" s="47" t="s">
        <v>20</v>
      </c>
      <c r="B26" s="49">
        <f>SUMIF(Dept_1!E2:E500,"Emergency Leave",Dept_1!F2:F500)+SUMIF(Dept_2!E2:E500,"Emergency Leave",Dept_2!F2:F500)+SUMIF(Dept_3!E2:E500,"Emergency Leave",Dept_3!F2:F500)</f>
        <v>7</v>
      </c>
    </row>
  </sheetData>
  <mergeCells count="7">
    <mergeCell ref="A11:E13"/>
    <mergeCell ref="A14:D14"/>
    <mergeCell ref="A1:K2"/>
    <mergeCell ref="A4:E5"/>
    <mergeCell ref="A6:D6"/>
    <mergeCell ref="A7:E9"/>
    <mergeCell ref="A10:D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D951E1-416E-4D06-93DC-97B0800EE9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Dept_1</vt:lpstr>
      <vt:lpstr>Dept_2</vt:lpstr>
      <vt:lpstr>Dept_3</vt:lpstr>
      <vt:lpstr>Settings</vt:lpstr>
      <vt:lpstr>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Suhaj</cp:lastModifiedBy>
  <cp:revision>0</cp:revision>
  <dcterms:created xsi:type="dcterms:W3CDTF">2026-05-06T03:51:04Z</dcterms:created>
  <dcterms:modified xsi:type="dcterms:W3CDTF">2026-06-08T18:26:21Z</dcterms:modified>
  <dc:language>en-US</dc:language>
</cp:coreProperties>
</file>